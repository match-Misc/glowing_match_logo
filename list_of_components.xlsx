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ei\Desktop\glowing_match_logo\"/>
    </mc:Choice>
  </mc:AlternateContent>
  <xr:revisionPtr revIDLastSave="0" documentId="13_ncr:1_{9006EEEA-FEE9-4C17-8678-405CF2350A92}" xr6:coauthVersionLast="47" xr6:coauthVersionMax="47" xr10:uidLastSave="{00000000-0000-0000-0000-000000000000}"/>
  <bookViews>
    <workbookView xWindow="2730" yWindow="2730" windowWidth="21645" windowHeight="13725" xr2:uid="{DA8989C8-4071-4D60-8725-AF15006191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B10" i="1" s="1"/>
</calcChain>
</file>

<file path=xl/sharedStrings.xml><?xml version="1.0" encoding="utf-8"?>
<sst xmlns="http://schemas.openxmlformats.org/spreadsheetml/2006/main" count="21" uniqueCount="21">
  <si>
    <t>Bezeichnung</t>
  </si>
  <si>
    <t>Kosten p.P</t>
  </si>
  <si>
    <t>Kauf-Link</t>
  </si>
  <si>
    <t>WS2812b 1010</t>
  </si>
  <si>
    <t>Menge pro Platine</t>
  </si>
  <si>
    <t>Widerstand 330 ohm</t>
  </si>
  <si>
    <t>Kondensator 4.7 uF</t>
  </si>
  <si>
    <t>Lotpaste</t>
  </si>
  <si>
    <t>https://www.amazon.de/dp/B0F12PRH9G?ref=fed_asin_title</t>
  </si>
  <si>
    <t>ESP32-C6-zero</t>
  </si>
  <si>
    <t>Kondensator 100nF 0402</t>
  </si>
  <si>
    <t>https://www.amazon.de/dp/B0BVLPMSN1?ref=fed_asin_title&amp;th=1</t>
  </si>
  <si>
    <t>Taster B3U-1000PM</t>
  </si>
  <si>
    <t>https://www.amazon.de/Innfeeltech-St%C3%BCck-Elektrolytkondensator-4-7uF-Aluminium-Radial-Elektrolytkondensatoren/dp/B0DBKNT16C?crid=2JNNWY2EPGXX6&amp;dib=eyJ2IjoiMSJ9.4bo3WTduFV9HM_Tjy6YCxhzlaEyG13mPmx4ppUW2l_H_mSHmRqY9nk6YjbtAOD7mShx5QTMDgs3bjEqpCEmnSQvXdjO8x_5IlU443Q21LMfzD6gojiL9I1sn2Y9u3pvxZntveSjgmpoUF795JCTnyN4t412PY4hPaYb1n24nZ840tDfwbhqAgASDsGUccTbchIyCFDZZC9as1d47jn6gdpJA-cxlazPYuxF9dQOnRUZtjD9-SmNRTlWoUowrNwfg8Jsfb23-l-UoQ39z_FuYfeGpNeIiFxT7RLA8UsKyLR8.T11W9UmjCSl-bfpXJVwofUvAYUf80FVUuImbZVj6ZWw&amp;dib_tag=se&amp;keywords=kondensator%2B4.7uF&amp;qid=1776698916&amp;s=industrial&amp;sprefix=kondensator%2B4.7u%2Caps%2C135&amp;sr=1-7&amp;th=1</t>
  </si>
  <si>
    <t>https://www.conrad.de/de/p/omron-b3u-1000pm-drucktaster-12-v-dc-0-05-a-tastend-1-st-bag-2593339.html</t>
  </si>
  <si>
    <t>Gesamtkosten</t>
  </si>
  <si>
    <t>Kosten pro Platine</t>
  </si>
  <si>
    <t>https://leds-and-more.de/Ultra-kleines-WS2812-SMD-RGB-LED-1010-steuerbar-integr-Controller-120-4-Pin-1x1mm</t>
  </si>
  <si>
    <t>Kommentar</t>
  </si>
  <si>
    <t>Bei Digikey für 10 cent pro Stück</t>
  </si>
  <si>
    <t>Platine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</si>
</sst>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ds-and-more.de/Ultra-kleines-WS2812-SMD-RGB-LED-1010-steuerbar-integr-Controller-120-4-Pin-1x1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8AD0-4E9F-4DFE-BE30-338E0E8B5A91}">
  <dimension ref="A1:V10"/>
  <sheetViews>
    <sheetView tabSelected="1" zoomScale="115" zoomScaleNormal="115" workbookViewId="0">
      <selection activeCell="D2" sqref="D2"/>
    </sheetView>
  </sheetViews>
  <sheetFormatPr baseColWidth="10" defaultRowHeight="15" x14ac:dyDescent="0.25"/>
  <cols>
    <col min="1" max="1" width="22.5703125" bestFit="1" customWidth="1"/>
    <col min="2" max="2" width="10.42578125" bestFit="1" customWidth="1"/>
    <col min="3" max="3" width="17.5703125" bestFit="1" customWidth="1"/>
    <col min="4" max="4" width="17.42578125" bestFit="1" customWidth="1"/>
    <col min="5" max="5" width="63.28515625" customWidth="1"/>
    <col min="21" max="21" width="9.5703125" customWidth="1"/>
    <col min="22" max="22" width="11.42578125" hidden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16</v>
      </c>
      <c r="E1" s="1" t="s">
        <v>2</v>
      </c>
      <c r="F1" s="1" t="s">
        <v>18</v>
      </c>
    </row>
    <row r="2" spans="1:6" x14ac:dyDescent="0.25">
      <c r="A2" t="s">
        <v>3</v>
      </c>
      <c r="B2">
        <v>0.36</v>
      </c>
      <c r="C2">
        <v>49</v>
      </c>
      <c r="D2">
        <f>C2*B2</f>
        <v>17.64</v>
      </c>
      <c r="E2" s="2" t="s">
        <v>17</v>
      </c>
      <c r="F2" t="s">
        <v>19</v>
      </c>
    </row>
    <row r="3" spans="1:6" x14ac:dyDescent="0.25">
      <c r="A3" t="s">
        <v>10</v>
      </c>
      <c r="B3">
        <v>0.06</v>
      </c>
      <c r="C3">
        <v>27</v>
      </c>
      <c r="D3">
        <f t="shared" ref="D3:D8" si="0">C3*B3</f>
        <v>1.6199999999999999</v>
      </c>
      <c r="E3" t="s">
        <v>11</v>
      </c>
    </row>
    <row r="4" spans="1:6" x14ac:dyDescent="0.25">
      <c r="A4" t="s">
        <v>12</v>
      </c>
      <c r="B4">
        <v>1</v>
      </c>
      <c r="C4">
        <v>1</v>
      </c>
      <c r="D4">
        <f t="shared" si="0"/>
        <v>1</v>
      </c>
      <c r="E4" t="s">
        <v>14</v>
      </c>
    </row>
    <row r="5" spans="1:6" x14ac:dyDescent="0.25">
      <c r="A5" t="s">
        <v>5</v>
      </c>
      <c r="B5">
        <v>0.05</v>
      </c>
      <c r="C5">
        <v>1</v>
      </c>
      <c r="D5">
        <f t="shared" si="0"/>
        <v>0.05</v>
      </c>
    </row>
    <row r="6" spans="1:6" x14ac:dyDescent="0.25">
      <c r="A6" t="s">
        <v>6</v>
      </c>
      <c r="B6">
        <v>9.4E-2</v>
      </c>
      <c r="C6">
        <v>1</v>
      </c>
      <c r="D6">
        <f t="shared" si="0"/>
        <v>9.4E-2</v>
      </c>
      <c r="E6" t="s">
        <v>13</v>
      </c>
    </row>
    <row r="7" spans="1:6" x14ac:dyDescent="0.25">
      <c r="A7" t="s">
        <v>9</v>
      </c>
      <c r="B7">
        <v>7.56</v>
      </c>
      <c r="C7">
        <v>1</v>
      </c>
      <c r="D7">
        <f t="shared" si="0"/>
        <v>7.56</v>
      </c>
      <c r="E7" t="s">
        <v>8</v>
      </c>
    </row>
    <row r="8" spans="1:6" x14ac:dyDescent="0.25">
      <c r="A8" t="s">
        <v>7</v>
      </c>
      <c r="B8">
        <v>0.1</v>
      </c>
      <c r="C8">
        <v>1</v>
      </c>
      <c r="D8">
        <f t="shared" si="0"/>
        <v>0.1</v>
      </c>
    </row>
    <row r="9" spans="1:6" x14ac:dyDescent="0.25">
      <c r="A9" t="s">
        <v>20</v>
      </c>
    </row>
    <row r="10" spans="1:6" x14ac:dyDescent="0.25">
      <c r="A10" t="s">
        <v>15</v>
      </c>
      <c r="B10">
        <f>SUM(D2:D8)</f>
        <v>28.064000000000004</v>
      </c>
    </row>
  </sheetData>
  <hyperlinks>
    <hyperlink ref="E2" r:id="rId1" xr:uid="{B28F6322-41EE-4CC9-93F0-13037280EB51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Terei, Niklas</dc:creator>
  <cp:lastModifiedBy>Terei, Niklas</cp:lastModifiedBy>
  <dcterms:created xsi:type="dcterms:W3CDTF">2026-04-15T15:40:29Z</dcterms:created>
  <dcterms:modified xsi:type="dcterms:W3CDTF">2026-07-10T13:33:14Z</dcterms:modified>
</cp:coreProperties>
</file>